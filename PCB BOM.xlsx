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<sst xmlns="http://schemas.openxmlformats.org/spreadsheetml/2006/main" count="60" uniqueCount="60">
  <si>
    <t>Component</t>
  </si>
  <si>
    <t>Number of Item</t>
  </si>
  <si>
    <t>Price/1</t>
  </si>
  <si>
    <t>Link</t>
  </si>
  <si>
    <t>ESP32-s3-WROOM-1</t>
  </si>
  <si>
    <t>https://www.digikey.com/en/products/detail/espressif-systems/ESP32-S3-WROOM-1-N8/15200089</t>
  </si>
  <si>
    <t>Cap 100nF</t>
  </si>
  <si>
    <t>https://www.digikey.com/en/products/detail/kemet/C0805C104K5RACTU/411169</t>
  </si>
  <si>
    <t>Cap 10nF</t>
  </si>
  <si>
    <t>https://www.digikey.com/en/products/detail/kemet/C0805C103K5RACTU/411433</t>
  </si>
  <si>
    <t>Cap 10uF</t>
  </si>
  <si>
    <t>https://www.digikey.com/en/products/detail/kemet/C0805C106K4PACTU/2211785</t>
  </si>
  <si>
    <t>Cap  1uF</t>
  </si>
  <si>
    <t>https://www.digikey.com/en/products/detail/kemet/C0805C105K4RACTU/416047</t>
  </si>
  <si>
    <t>Cap 27pF</t>
  </si>
  <si>
    <t>https://www.digikey.com/en/products/detail/kemet/C0805C270J5GACTU/411113</t>
  </si>
  <si>
    <t>LED (TH)</t>
  </si>
  <si>
    <t>Should Already have</t>
  </si>
  <si>
    <t>Conn 2x3 Molex</t>
  </si>
  <si>
    <t>https://www.digikey.com/en/products/detail/molex/0039281063/61404</t>
  </si>
  <si>
    <t>Conn 2x3 Duponts</t>
  </si>
  <si>
    <t>https://www.digikey.com/en/products/detail/adam-tech/PH2-06-UA/9830396</t>
  </si>
  <si>
    <t>USB-C Rec 2.0_14P</t>
  </si>
  <si>
    <t>https://www.digikey.com/en/products/detail/same-sky-formerly-cui-devices-/UJ20-C-H-G-SMT-4-P16-TR/24818626</t>
  </si>
  <si>
    <t>Conn 1x2 Molex</t>
  </si>
  <si>
    <t>https://www.digikey.com/en/products/detail/molex/0039281023/61397</t>
  </si>
  <si>
    <t>Res 60</t>
  </si>
  <si>
    <t>https://www.digikey.com/en/products/detail/vishay-dale/CRCW080560R4FKEAHP/2226833</t>
  </si>
  <si>
    <t xml:space="preserve">Res 10k </t>
  </si>
  <si>
    <t>https://www.digikey.com/en/products/detail/yageo/RC0805FR-0710KL/727535</t>
  </si>
  <si>
    <t>Res 5.1k</t>
  </si>
  <si>
    <t>https://www.digikey.com/en/products/detail/vishay-dale/CRCW08055K10FKEA/1175717</t>
  </si>
  <si>
    <t>Res 11k</t>
  </si>
  <si>
    <t>https://www.digikey.com/en/products/detail/yageo/RC0805FR-0711KL/727552</t>
  </si>
  <si>
    <t>Res 20k</t>
  </si>
  <si>
    <t>https://www.digikey.com/en/products/detail/vishay-dale/CRCW080520K0FKEA/1180929</t>
  </si>
  <si>
    <t>Res 1k</t>
  </si>
  <si>
    <t>https://www.digikey.com/en/products/detail/yageo/RC0805FR-071KL/727444</t>
  </si>
  <si>
    <t>Res 100</t>
  </si>
  <si>
    <t>https://www.digikey.com/en/products/detail/yageo/RC0805FR-07100RL/727543</t>
  </si>
  <si>
    <t>SW_Push</t>
  </si>
  <si>
    <t>https://www.digikey.com/en/products/detail/apem-inc/MJTP1250/1798038</t>
  </si>
  <si>
    <t>ST Can Transceiver (SN65HVD230)</t>
  </si>
  <si>
    <t>https://www.mouser.com/en/ProductDetail/Texas-Instruments/SN65HVD230QDR?qs=QViXGNcIEAvSeznLG41lqg%3D%3D&amp;mgh=1</t>
  </si>
  <si>
    <t>CAN-FD Controller (MCP2518FD-xQBB)</t>
  </si>
  <si>
    <t>https://www.digikey.com/en/products/detail/microchip-technology/MCP2518FDT-E-QBB/10231302</t>
  </si>
  <si>
    <t>CAN-FD Transceiver (PTCAN3412DR)</t>
  </si>
  <si>
    <t>https://www.digikey.com/en/products/detail/texas-instruments/TCAN3413DR/22147199</t>
  </si>
  <si>
    <t>ESD-Prot USB-C ( USBLC6-2SC6 )</t>
  </si>
  <si>
    <t>https://www.digikey.com/en/products/detail/stmicroelectronics/USBLC6-2SC6/1040559</t>
  </si>
  <si>
    <t>LDO ( AP2112K-3.3 )</t>
  </si>
  <si>
    <t>https://www.digikey.com/en/products/detail/diodes-incorporated/AP2112K-3-3TRG1/4470746</t>
  </si>
  <si>
    <t>Comparator ( MCP6001-OT )</t>
  </si>
  <si>
    <t>https://www.digikey.com/en/products/detail/microchip-technology/MCP6001T-I-OT/697158</t>
  </si>
  <si>
    <t>40 Mhz Crystal (ABM8-40.000MHZ-B2-T)</t>
  </si>
  <si>
    <t>https://abracon.com/parametric/crystals/ABM8-40.000MHZ-B2-T</t>
  </si>
  <si>
    <t>Pcb</t>
  </si>
  <si>
    <t>Refer to gerbers in Github</t>
  </si>
  <si>
    <t>TOTAL($):</t>
  </si>
  <si>
    <t>For 5: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</si>
</sst>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microchip-technology/MCP2518FDT-E-QBB/10231302" TargetMode="External"/><Relationship Id="rId22" Type="http://schemas.openxmlformats.org/officeDocument/2006/relationships/hyperlink" Target="https://www.digikey.com/en/products/detail/stmicroelectronics/USBLC6-2SC6/1040559" TargetMode="External"/><Relationship Id="rId21" Type="http://schemas.openxmlformats.org/officeDocument/2006/relationships/hyperlink" Target="https://www.digikey.com/en/products/detail/texas-instruments/TCAN3413DR/22147199" TargetMode="External"/><Relationship Id="rId24" Type="http://schemas.openxmlformats.org/officeDocument/2006/relationships/hyperlink" Target="https://www.digikey.com/en/products/detail/microchip-technology/MCP6001T-I-OT/697158" TargetMode="External"/><Relationship Id="rId23" Type="http://schemas.openxmlformats.org/officeDocument/2006/relationships/hyperlink" Target="https://www.digikey.com/en/products/detail/diodes-incorporated/AP2112K-3-3TRG1/4470746" TargetMode="External"/><Relationship Id="rId1" Type="http://schemas.openxmlformats.org/officeDocument/2006/relationships/hyperlink" Target="https://www.digikey.com/en/products/detail/espressif-systems/ESP32-S3-WROOM-1-N8/15200089" TargetMode="External"/><Relationship Id="rId2" Type="http://schemas.openxmlformats.org/officeDocument/2006/relationships/hyperlink" Target="https://www.digikey.com/en/products/detail/kemet/C0805C104K5RACTU/411169" TargetMode="External"/><Relationship Id="rId3" Type="http://schemas.openxmlformats.org/officeDocument/2006/relationships/hyperlink" Target="https://www.digikey.com/en/products/detail/kemet/C0805C103K5RACTU/411433" TargetMode="External"/><Relationship Id="rId4" Type="http://schemas.openxmlformats.org/officeDocument/2006/relationships/hyperlink" Target="https://www.digikey.com/en/products/detail/kemet/C0805C106K4PACTU/2211785" TargetMode="External"/><Relationship Id="rId9" Type="http://schemas.openxmlformats.org/officeDocument/2006/relationships/hyperlink" Target="https://www.digikey.com/en/products/detail/same-sky-formerly-cui-devices-/UJ20-C-H-G-SMT-4-P16-TR/24818626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abracon.com/parametric/crystals/ABM8-40.000MHZ-B2-T" TargetMode="External"/><Relationship Id="rId5" Type="http://schemas.openxmlformats.org/officeDocument/2006/relationships/hyperlink" Target="https://www.digikey.com/en/products/detail/kemet/C0805C105K4RACTU/416047" TargetMode="External"/><Relationship Id="rId6" Type="http://schemas.openxmlformats.org/officeDocument/2006/relationships/hyperlink" Target="https://www.digikey.com/en/products/detail/kemet/C0805C270J5GACTU/411113" TargetMode="External"/><Relationship Id="rId7" Type="http://schemas.openxmlformats.org/officeDocument/2006/relationships/hyperlink" Target="https://www.digikey.com/en/products/detail/molex/0039281063/61404" TargetMode="External"/><Relationship Id="rId8" Type="http://schemas.openxmlformats.org/officeDocument/2006/relationships/hyperlink" Target="https://www.digikey.com/en/products/detail/adam-tech/PH2-06-UA/9830396" TargetMode="External"/><Relationship Id="rId11" Type="http://schemas.openxmlformats.org/officeDocument/2006/relationships/hyperlink" Target="https://www.digikey.com/en/products/detail/vishay-dale/CRCW080560R4FKEAHP/2226833" TargetMode="External"/><Relationship Id="rId10" Type="http://schemas.openxmlformats.org/officeDocument/2006/relationships/hyperlink" Target="https://www.digikey.com/en/products/detail/molex/0039281023/61397" TargetMode="External"/><Relationship Id="rId13" Type="http://schemas.openxmlformats.org/officeDocument/2006/relationships/hyperlink" Target="https://www.digikey.com/en/products/detail/vishay-dale/CRCW08055K10FKEA/1175717" TargetMode="External"/><Relationship Id="rId12" Type="http://schemas.openxmlformats.org/officeDocument/2006/relationships/hyperlink" Target="https://www.digikey.com/en/products/detail/yageo/RC0805FR-0710KL/727535" TargetMode="External"/><Relationship Id="rId15" Type="http://schemas.openxmlformats.org/officeDocument/2006/relationships/hyperlink" Target="https://www.digikey.com/en/products/detail/vishay-dale/CRCW080520K0FKEA/1180929" TargetMode="External"/><Relationship Id="rId14" Type="http://schemas.openxmlformats.org/officeDocument/2006/relationships/hyperlink" Target="https://www.digikey.com/en/products/detail/yageo/RC0805FR-0711KL/727552" TargetMode="External"/><Relationship Id="rId17" Type="http://schemas.openxmlformats.org/officeDocument/2006/relationships/hyperlink" Target="https://www.digikey.com/en/products/detail/yageo/RC0805FR-07100RL/727543" TargetMode="External"/><Relationship Id="rId16" Type="http://schemas.openxmlformats.org/officeDocument/2006/relationships/hyperlink" Target="https://www.digikey.com/en/products/detail/yageo/RC0805FR-071KL/727444" TargetMode="External"/><Relationship Id="rId19" Type="http://schemas.openxmlformats.org/officeDocument/2006/relationships/hyperlink" Target="https://www.mouser.com/en/ProductDetail/Texas-Instruments/SN65HVD230QDR?qs=QViXGNcIEAvSeznLG41lqg%3D%3D&amp;mgh=1" TargetMode="External"/><Relationship Id="rId18" Type="http://schemas.openxmlformats.org/officeDocument/2006/relationships/hyperlink" Target="https://www.digikey.com/en/products/detail/apem-inc/MJTP1250/1798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75"/>
    <col customWidth="1" min="4" max="4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1.0</v>
      </c>
      <c r="C2" s="1">
        <v>5.66</v>
      </c>
      <c r="D2" s="2" t="s">
        <v>5</v>
      </c>
    </row>
    <row r="3">
      <c r="A3" s="1" t="s">
        <v>6</v>
      </c>
      <c r="B3" s="1">
        <v>10.0</v>
      </c>
      <c r="C3" s="1">
        <v>0.18</v>
      </c>
      <c r="D3" s="2" t="s">
        <v>7</v>
      </c>
    </row>
    <row r="4">
      <c r="A4" s="1" t="s">
        <v>8</v>
      </c>
      <c r="B4" s="1">
        <v>1.0</v>
      </c>
      <c r="C4" s="1">
        <v>0.15</v>
      </c>
      <c r="D4" s="2" t="s">
        <v>9</v>
      </c>
    </row>
    <row r="5">
      <c r="A5" s="1" t="s">
        <v>10</v>
      </c>
      <c r="B5" s="1">
        <v>3.0</v>
      </c>
      <c r="C5" s="1">
        <v>0.25</v>
      </c>
      <c r="D5" s="2" t="s">
        <v>11</v>
      </c>
    </row>
    <row r="6">
      <c r="A6" s="1" t="s">
        <v>12</v>
      </c>
      <c r="B6" s="1">
        <v>1.0</v>
      </c>
      <c r="C6" s="1">
        <v>0.33</v>
      </c>
      <c r="D6" s="2" t="s">
        <v>13</v>
      </c>
    </row>
    <row r="7">
      <c r="A7" s="1" t="s">
        <v>14</v>
      </c>
      <c r="B7" s="1">
        <v>2.0</v>
      </c>
      <c r="C7" s="1">
        <v>0.17</v>
      </c>
      <c r="D7" s="2" t="s">
        <v>15</v>
      </c>
    </row>
    <row r="8">
      <c r="A8" s="1" t="s">
        <v>16</v>
      </c>
      <c r="B8" s="1">
        <v>1.0</v>
      </c>
      <c r="C8" s="1">
        <v>0.0</v>
      </c>
      <c r="D8" s="1" t="s">
        <v>17</v>
      </c>
    </row>
    <row r="9">
      <c r="A9" s="1" t="s">
        <v>18</v>
      </c>
      <c r="B9" s="1">
        <v>1.0</v>
      </c>
      <c r="C9" s="1">
        <v>1.1</v>
      </c>
      <c r="D9" s="3" t="s">
        <v>19</v>
      </c>
    </row>
    <row r="10">
      <c r="A10" s="1" t="s">
        <v>20</v>
      </c>
      <c r="B10" s="1">
        <v>1.0</v>
      </c>
      <c r="C10" s="1">
        <v>0.1</v>
      </c>
      <c r="D10" s="3" t="s">
        <v>21</v>
      </c>
    </row>
    <row r="11">
      <c r="A11" s="1" t="s">
        <v>22</v>
      </c>
      <c r="B11" s="1">
        <v>1.0</v>
      </c>
      <c r="C11" s="1">
        <v>0.55</v>
      </c>
      <c r="D11" s="2" t="s">
        <v>23</v>
      </c>
    </row>
    <row r="12">
      <c r="A12" s="1" t="s">
        <v>24</v>
      </c>
      <c r="B12" s="1">
        <v>1.0</v>
      </c>
      <c r="C12" s="1">
        <v>0.63</v>
      </c>
      <c r="D12" s="2" t="s">
        <v>25</v>
      </c>
    </row>
    <row r="13">
      <c r="A13" s="1" t="s">
        <v>26</v>
      </c>
      <c r="B13" s="1">
        <v>4.0</v>
      </c>
      <c r="C13" s="1">
        <v>0.2</v>
      </c>
      <c r="D13" s="2" t="s">
        <v>27</v>
      </c>
    </row>
    <row r="14">
      <c r="A14" s="1" t="s">
        <v>28</v>
      </c>
      <c r="B14" s="1">
        <v>4.0</v>
      </c>
      <c r="C14" s="1">
        <v>0.1</v>
      </c>
      <c r="D14" s="2" t="s">
        <v>29</v>
      </c>
    </row>
    <row r="15">
      <c r="A15" s="1" t="s">
        <v>30</v>
      </c>
      <c r="B15" s="1">
        <v>2.0</v>
      </c>
      <c r="C15" s="1">
        <v>0.1</v>
      </c>
      <c r="D15" s="2" t="s">
        <v>31</v>
      </c>
    </row>
    <row r="16">
      <c r="A16" s="1" t="s">
        <v>32</v>
      </c>
      <c r="B16" s="1">
        <v>2.0</v>
      </c>
      <c r="C16" s="1">
        <v>0.1</v>
      </c>
      <c r="D16" s="2" t="s">
        <v>33</v>
      </c>
    </row>
    <row r="17">
      <c r="A17" s="1" t="s">
        <v>34</v>
      </c>
      <c r="B17" s="1">
        <v>2.0</v>
      </c>
      <c r="C17" s="1">
        <v>0.1</v>
      </c>
      <c r="D17" s="2" t="s">
        <v>35</v>
      </c>
    </row>
    <row r="18">
      <c r="A18" s="1" t="s">
        <v>36</v>
      </c>
      <c r="B18" s="1">
        <v>1.0</v>
      </c>
      <c r="C18" s="1">
        <v>0.1</v>
      </c>
      <c r="D18" s="2" t="s">
        <v>37</v>
      </c>
    </row>
    <row r="19">
      <c r="A19" s="1" t="s">
        <v>38</v>
      </c>
      <c r="B19" s="1">
        <v>1.0</v>
      </c>
      <c r="C19" s="1">
        <v>0.1</v>
      </c>
      <c r="D19" s="2" t="s">
        <v>39</v>
      </c>
    </row>
    <row r="20">
      <c r="A20" s="1" t="s">
        <v>40</v>
      </c>
      <c r="B20" s="1">
        <v>2.0</v>
      </c>
      <c r="C20" s="1">
        <v>0.42</v>
      </c>
      <c r="D20" s="2" t="s">
        <v>41</v>
      </c>
    </row>
    <row r="21">
      <c r="A21" s="1" t="s">
        <v>42</v>
      </c>
      <c r="B21" s="1">
        <v>1.0</v>
      </c>
      <c r="C21" s="1">
        <v>3.97</v>
      </c>
      <c r="D21" s="2" t="s">
        <v>43</v>
      </c>
    </row>
    <row r="22">
      <c r="A22" s="1" t="s">
        <v>44</v>
      </c>
      <c r="B22" s="1">
        <v>1.0</v>
      </c>
      <c r="C22" s="1">
        <v>1.96</v>
      </c>
      <c r="D22" s="2" t="s">
        <v>45</v>
      </c>
    </row>
    <row r="23">
      <c r="A23" s="1" t="s">
        <v>46</v>
      </c>
      <c r="B23" s="1">
        <v>1.0</v>
      </c>
      <c r="C23" s="1">
        <v>2.12</v>
      </c>
      <c r="D23" s="2" t="s">
        <v>47</v>
      </c>
    </row>
    <row r="24">
      <c r="A24" s="1" t="s">
        <v>48</v>
      </c>
      <c r="B24" s="1">
        <v>1.0</v>
      </c>
      <c r="C24" s="1">
        <v>0.54</v>
      </c>
      <c r="D24" s="2" t="s">
        <v>49</v>
      </c>
    </row>
    <row r="25">
      <c r="A25" s="1" t="s">
        <v>50</v>
      </c>
      <c r="B25" s="1">
        <v>1.0</v>
      </c>
      <c r="C25" s="1">
        <v>0.28</v>
      </c>
      <c r="D25" s="2" t="s">
        <v>51</v>
      </c>
    </row>
    <row r="26">
      <c r="A26" s="1" t="s">
        <v>52</v>
      </c>
      <c r="B26" s="1">
        <v>1.0</v>
      </c>
      <c r="C26" s="1">
        <v>0.3</v>
      </c>
      <c r="D26" s="2" t="s">
        <v>53</v>
      </c>
    </row>
    <row r="27">
      <c r="A27" s="1" t="s">
        <v>54</v>
      </c>
      <c r="B27" s="1">
        <v>1.0</v>
      </c>
      <c r="C27" s="1">
        <v>0.49</v>
      </c>
      <c r="D27" s="2" t="s">
        <v>55</v>
      </c>
    </row>
    <row r="28">
      <c r="A28" s="1" t="s">
        <v>56</v>
      </c>
      <c r="B28" s="1">
        <v>5.0</v>
      </c>
      <c r="C28" s="1">
        <v>4.0</v>
      </c>
      <c r="D28" s="1" t="s">
        <v>57</v>
      </c>
    </row>
    <row r="29">
      <c r="A29" s="4"/>
      <c r="B29" s="5" t="s">
        <v>58</v>
      </c>
      <c r="C29" s="6">
        <f>SUM(C2:C28)</f>
        <v>24</v>
      </c>
      <c r="D29" s="4"/>
    </row>
    <row r="30">
      <c r="A30" s="4"/>
      <c r="B30" s="1" t="s">
        <v>59</v>
      </c>
      <c r="C30" s="4">
        <f>C29 * 5 - 16</f>
        <v>104</v>
      </c>
      <c r="D30" s="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6"/>
</worksheet>
</file>